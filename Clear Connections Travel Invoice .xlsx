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https://clearconnectionscontracting.sharepoint.com/sites/owners/Shared Documents/Management/Travel/"/>
    </mc:Choice>
  </mc:AlternateContent>
  <xr:revisionPtr revIDLastSave="111" documentId="8_{FA367749-7D36-3546-8CD2-5F3BE93EA5FD}" xr6:coauthVersionLast="47" xr6:coauthVersionMax="47" xr10:uidLastSave="{2A2D7688-1072-4243-9BB0-EFB32D0BE217}"/>
  <bookViews>
    <workbookView xWindow="-20" yWindow="760" windowWidth="29400" windowHeight="16660" xr2:uid="{00000000-000D-0000-FFFF-FFFF00000000}"/>
  </bookViews>
  <sheets>
    <sheet name="Sheet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4" l="1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E31" i="4"/>
  <c r="E34" i="4"/>
  <c r="E35" i="4"/>
  <c r="E38" i="4"/>
  <c r="E39" i="4"/>
  <c r="E40" i="4"/>
  <c r="E41" i="4"/>
  <c r="E42" i="4"/>
  <c r="E43" i="4"/>
  <c r="E44" i="4"/>
  <c r="E45" i="4"/>
  <c r="E46" i="4"/>
  <c r="E47" i="4"/>
  <c r="E48" i="4"/>
  <c r="E29" i="4"/>
  <c r="D31" i="4"/>
  <c r="E30" i="4" s="1"/>
  <c r="D32" i="4"/>
  <c r="D33" i="4"/>
  <c r="D34" i="4"/>
  <c r="E33" i="4" s="1"/>
  <c r="D35" i="4"/>
  <c r="D36" i="4"/>
  <c r="D37" i="4"/>
  <c r="E36" i="4" s="1"/>
  <c r="D38" i="4"/>
  <c r="E37" i="4" s="1"/>
  <c r="D39" i="4"/>
  <c r="D40" i="4"/>
  <c r="D41" i="4"/>
  <c r="D42" i="4"/>
  <c r="D43" i="4"/>
  <c r="D44" i="4"/>
  <c r="D45" i="4"/>
  <c r="D46" i="4"/>
  <c r="D47" i="4"/>
  <c r="D48" i="4"/>
  <c r="D49" i="4"/>
  <c r="D50" i="4"/>
  <c r="D30" i="4"/>
  <c r="F65" i="4"/>
  <c r="F67" i="4" s="1"/>
  <c r="F69" i="4" s="1"/>
  <c r="C19" i="4"/>
  <c r="B15" i="4"/>
  <c r="C15" i="4" s="1"/>
  <c r="E32" i="4" l="1"/>
  <c r="F70" i="4"/>
  <c r="F71" i="4" s="1"/>
  <c r="F72" i="4" s="1"/>
  <c r="F73" i="4" s="1"/>
</calcChain>
</file>

<file path=xl/sharedStrings.xml><?xml version="1.0" encoding="utf-8"?>
<sst xmlns="http://schemas.openxmlformats.org/spreadsheetml/2006/main" count="59" uniqueCount="48">
  <si>
    <t>Access Communications CONTRACTOR TRAVEL Request Form</t>
  </si>
  <si>
    <t>Contractor Name</t>
  </si>
  <si>
    <t>issam ettir</t>
  </si>
  <si>
    <t>Installer Code</t>
  </si>
  <si>
    <t>c414</t>
  </si>
  <si>
    <t>GST Number</t>
  </si>
  <si>
    <t>Date Submitted</t>
  </si>
  <si>
    <t>For Travel To</t>
  </si>
  <si>
    <t>Project</t>
  </si>
  <si>
    <t>Date</t>
  </si>
  <si>
    <t>Departure</t>
  </si>
  <si>
    <t xml:space="preserve">Contract Travel Request forms must be submitted to the Contractor Supervisor or Regional Manager within two weeks of travel.  Failure to do so may result in forfeiture of your claim.  </t>
  </si>
  <si>
    <t>Return</t>
  </si>
  <si>
    <r>
      <t xml:space="preserve">Pay to Contractor Meals </t>
    </r>
    <r>
      <rPr>
        <b/>
        <sz val="12"/>
        <color indexed="10"/>
        <rFont val="Arial"/>
        <family val="2"/>
      </rPr>
      <t>and</t>
    </r>
    <r>
      <rPr>
        <b/>
        <sz val="12"/>
        <rFont val="Arial"/>
        <family val="2"/>
      </rPr>
      <t xml:space="preserve"> Accommodations:</t>
    </r>
  </si>
  <si>
    <t># of Overnight Stays</t>
  </si>
  <si>
    <t>Amount Per Day</t>
  </si>
  <si>
    <t># Days X Amount</t>
  </si>
  <si>
    <t>For travel to White City, Copper Sands, Emerald Park, Balgonie and Pilot Butte – include WO #’s for travel</t>
  </si>
  <si>
    <t>Pay to Contractor Meals Only (Hotel paid by Company):</t>
  </si>
  <si>
    <t>Work Order #</t>
  </si>
  <si>
    <t>CC</t>
  </si>
  <si>
    <t>WO#'s</t>
  </si>
  <si>
    <t>Approval Required to bill hotel to Access</t>
  </si>
  <si>
    <t>What Hotel booked to Access</t>
  </si>
  <si>
    <t>Community</t>
  </si>
  <si>
    <t>Dates Stayed</t>
  </si>
  <si>
    <t>Destination</t>
  </si>
  <si>
    <t>Kilometers</t>
  </si>
  <si>
    <t>FROM</t>
  </si>
  <si>
    <t>TO</t>
  </si>
  <si>
    <t>BEFORE</t>
  </si>
  <si>
    <t>AFTER</t>
  </si>
  <si>
    <t>NET KMS</t>
  </si>
  <si>
    <t xml:space="preserve">Notes: </t>
  </si>
  <si>
    <t>Total Kilometers</t>
  </si>
  <si>
    <t>@ .88/KM</t>
  </si>
  <si>
    <t xml:space="preserve"> Reimbursement:</t>
  </si>
  <si>
    <t>Total KMS Reimbursement</t>
  </si>
  <si>
    <t>Total Meals &amp; Hotel Reimbursement</t>
  </si>
  <si>
    <t>Total Reimbursement before GST</t>
  </si>
  <si>
    <t>GST (5%)</t>
  </si>
  <si>
    <t>It is the Contractors' responsibility to remit the GST amount to the Federal Government</t>
  </si>
  <si>
    <t>Grand Total of Payment:</t>
  </si>
  <si>
    <t>For Payment To:</t>
  </si>
  <si>
    <t>Contractor's Signature:</t>
  </si>
  <si>
    <t>Approved By:</t>
  </si>
  <si>
    <t>By the Contractor signing this form you confirm that Access Communications was the ultimate recipient of the above services</t>
  </si>
  <si>
    <t>For Terms of Payment, please refer to the signed contractor agreement (not sure what this is called exactly)....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</si>
</sst>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b/>
      <sz val="12"/>
      <color rgb="FFFF0000"/>
      <name val="Arial"/>
      <family val="2"/>
    </font>
    <font>
      <b/>
      <sz val="18"/>
      <name val="Fairwater Scrip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3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16" fontId="4" fillId="0" borderId="7" xfId="0" applyNumberFormat="1" applyFont="1" applyBorder="1" applyProtection="1"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4" fillId="6" borderId="22" xfId="0" applyFont="1" applyFill="1" applyBorder="1" applyAlignment="1" applyProtection="1">
      <alignment horizontal="center"/>
      <protection locked="0"/>
    </xf>
    <xf numFmtId="0" fontId="4" fillId="6" borderId="23" xfId="0" applyFont="1" applyFill="1" applyBorder="1" applyAlignment="1" applyProtection="1">
      <alignment horizontal="center"/>
      <protection locked="0"/>
    </xf>
    <xf numFmtId="0" fontId="4" fillId="6" borderId="12" xfId="0" applyFont="1" applyFill="1" applyBorder="1" applyAlignment="1" applyProtection="1">
      <alignment horizontal="center"/>
      <protection locked="0"/>
    </xf>
    <xf numFmtId="0" fontId="4" fillId="6" borderId="14" xfId="0" applyFont="1" applyFill="1" applyBorder="1" applyAlignment="1" applyProtection="1">
      <alignment horizontal="center"/>
      <protection locked="0"/>
    </xf>
    <xf numFmtId="0" fontId="4" fillId="6" borderId="19" xfId="0" applyFont="1" applyFill="1" applyBorder="1" applyAlignment="1" applyProtection="1">
      <alignment horizontal="center"/>
      <protection locked="0"/>
    </xf>
    <xf numFmtId="0" fontId="4" fillId="6" borderId="20" xfId="0" applyFont="1" applyFill="1" applyBorder="1" applyAlignment="1" applyProtection="1">
      <alignment horizontal="center"/>
      <protection locked="0"/>
    </xf>
    <xf numFmtId="0" fontId="0" fillId="7" borderId="26" xfId="0" applyFill="1" applyBorder="1"/>
    <xf numFmtId="0" fontId="0" fillId="7" borderId="27" xfId="0" applyFill="1" applyBorder="1"/>
    <xf numFmtId="3" fontId="9" fillId="4" borderId="22" xfId="0" applyNumberFormat="1" applyFont="1" applyFill="1" applyBorder="1" applyAlignment="1">
      <alignment horizontal="left"/>
    </xf>
    <xf numFmtId="3" fontId="9" fillId="4" borderId="24" xfId="0" applyNumberFormat="1" applyFont="1" applyFill="1" applyBorder="1" applyAlignment="1">
      <alignment horizontal="left"/>
    </xf>
    <xf numFmtId="3" fontId="9" fillId="4" borderId="12" xfId="0" applyNumberFormat="1" applyFont="1" applyFill="1" applyBorder="1" applyAlignment="1">
      <alignment horizontal="left"/>
    </xf>
    <xf numFmtId="49" fontId="5" fillId="0" borderId="5" xfId="0" applyNumberFormat="1" applyFont="1" applyBorder="1"/>
    <xf numFmtId="0" fontId="4" fillId="0" borderId="5" xfId="0" applyFont="1" applyBorder="1"/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4" borderId="13" xfId="0" applyNumberFormat="1" applyFont="1" applyFill="1" applyBorder="1" applyAlignment="1">
      <alignment horizontal="center" vertical="center" wrapText="1"/>
    </xf>
    <xf numFmtId="164" fontId="4" fillId="4" borderId="14" xfId="0" applyNumberFormat="1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2" fontId="4" fillId="2" borderId="19" xfId="0" applyNumberFormat="1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0" borderId="1" xfId="0" applyFont="1" applyBorder="1"/>
    <xf numFmtId="0" fontId="4" fillId="0" borderId="3" xfId="0" applyFont="1" applyBorder="1" applyAlignment="1">
      <alignment horizontal="right"/>
    </xf>
    <xf numFmtId="0" fontId="3" fillId="0" borderId="3" xfId="0" applyFont="1" applyBorder="1"/>
    <xf numFmtId="0" fontId="4" fillId="0" borderId="1" xfId="0" applyFont="1" applyBorder="1" applyAlignment="1">
      <alignment horizontal="left"/>
    </xf>
    <xf numFmtId="0" fontId="4" fillId="0" borderId="15" xfId="0" applyFont="1" applyBorder="1" applyAlignment="1">
      <alignment horizontal="right"/>
    </xf>
    <xf numFmtId="0" fontId="3" fillId="0" borderId="15" xfId="0" applyFont="1" applyBorder="1"/>
    <xf numFmtId="0" fontId="4" fillId="0" borderId="1" xfId="0" applyFont="1" applyBorder="1"/>
    <xf numFmtId="0" fontId="3" fillId="0" borderId="15" xfId="0" applyFont="1" applyBorder="1" applyAlignment="1">
      <alignment horizontal="right"/>
    </xf>
    <xf numFmtId="0" fontId="3" fillId="0" borderId="5" xfId="0" applyFont="1" applyBorder="1"/>
    <xf numFmtId="0" fontId="4" fillId="0" borderId="31" xfId="0" applyFont="1" applyBorder="1"/>
    <xf numFmtId="0" fontId="4" fillId="0" borderId="32" xfId="0" applyFont="1" applyBorder="1" applyAlignment="1">
      <alignment horizontal="center"/>
    </xf>
    <xf numFmtId="0" fontId="4" fillId="0" borderId="33" xfId="0" applyFont="1" applyBorder="1"/>
    <xf numFmtId="49" fontId="5" fillId="0" borderId="0" xfId="0" applyNumberFormat="1" applyFont="1"/>
    <xf numFmtId="0" fontId="4" fillId="0" borderId="0" xfId="0" applyFont="1"/>
    <xf numFmtId="0" fontId="4" fillId="0" borderId="34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34" xfId="0" applyFont="1" applyBorder="1"/>
    <xf numFmtId="0" fontId="4" fillId="0" borderId="0" xfId="0" applyFont="1" applyAlignment="1">
      <alignment horizontal="right" wrapText="1"/>
    </xf>
    <xf numFmtId="0" fontId="4" fillId="0" borderId="33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5" xfId="0" applyFont="1" applyBorder="1"/>
    <xf numFmtId="0" fontId="4" fillId="3" borderId="3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6" borderId="38" xfId="0" applyFont="1" applyFill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4" fillId="0" borderId="39" xfId="0" applyFont="1" applyBorder="1" applyAlignment="1">
      <alignment horizontal="center" vertical="center"/>
    </xf>
    <xf numFmtId="0" fontId="3" fillId="0" borderId="40" xfId="0" applyFont="1" applyBorder="1" applyAlignment="1" applyProtection="1">
      <alignment horizontal="left" vertical="center"/>
      <protection locked="0"/>
    </xf>
    <xf numFmtId="0" fontId="13" fillId="0" borderId="41" xfId="0" applyFont="1" applyBorder="1" applyAlignment="1">
      <alignment horizontal="left"/>
    </xf>
    <xf numFmtId="2" fontId="3" fillId="0" borderId="42" xfId="0" applyNumberFormat="1" applyFont="1" applyBorder="1" applyAlignment="1" applyProtection="1">
      <alignment horizontal="left" indent="1"/>
      <protection locked="0"/>
    </xf>
    <xf numFmtId="0" fontId="3" fillId="0" borderId="33" xfId="0" applyFont="1" applyBorder="1" applyAlignment="1">
      <alignment horizontal="left"/>
    </xf>
    <xf numFmtId="0" fontId="3" fillId="0" borderId="0" xfId="0" applyFont="1" applyAlignment="1">
      <alignment horizontal="left"/>
    </xf>
    <xf numFmtId="16" fontId="4" fillId="0" borderId="43" xfId="0" applyNumberFormat="1" applyFont="1" applyBorder="1" applyProtection="1">
      <protection locked="0"/>
    </xf>
    <xf numFmtId="2" fontId="3" fillId="0" borderId="33" xfId="0" applyNumberFormat="1" applyFont="1" applyBorder="1" applyAlignment="1">
      <alignment horizontal="left" indent="1"/>
    </xf>
    <xf numFmtId="2" fontId="3" fillId="0" borderId="0" xfId="0" applyNumberFormat="1" applyFont="1" applyAlignment="1">
      <alignment horizontal="left" indent="1"/>
    </xf>
    <xf numFmtId="2" fontId="4" fillId="2" borderId="47" xfId="0" applyNumberFormat="1" applyFont="1" applyFill="1" applyBorder="1" applyAlignment="1">
      <alignment horizontal="center"/>
    </xf>
    <xf numFmtId="16" fontId="4" fillId="6" borderId="48" xfId="0" applyNumberFormat="1" applyFont="1" applyFill="1" applyBorder="1" applyAlignment="1" applyProtection="1">
      <alignment horizontal="left"/>
      <protection locked="0"/>
    </xf>
    <xf numFmtId="2" fontId="4" fillId="6" borderId="49" xfId="0" applyNumberFormat="1" applyFont="1" applyFill="1" applyBorder="1" applyAlignment="1" applyProtection="1">
      <alignment horizontal="center"/>
      <protection locked="0"/>
    </xf>
    <xf numFmtId="16" fontId="4" fillId="6" borderId="50" xfId="0" applyNumberFormat="1" applyFont="1" applyFill="1" applyBorder="1" applyAlignment="1" applyProtection="1">
      <alignment horizontal="left"/>
      <protection locked="0"/>
    </xf>
    <xf numFmtId="0" fontId="4" fillId="6" borderId="50" xfId="0" applyFont="1" applyFill="1" applyBorder="1" applyAlignment="1" applyProtection="1">
      <alignment horizontal="left"/>
      <protection locked="0"/>
    </xf>
    <xf numFmtId="0" fontId="4" fillId="6" borderId="48" xfId="0" applyFont="1" applyFill="1" applyBorder="1" applyAlignment="1" applyProtection="1">
      <alignment horizontal="left"/>
      <protection locked="0"/>
    </xf>
    <xf numFmtId="0" fontId="4" fillId="6" borderId="51" xfId="0" applyFont="1" applyFill="1" applyBorder="1" applyAlignment="1" applyProtection="1">
      <alignment horizontal="left"/>
      <protection locked="0"/>
    </xf>
    <xf numFmtId="0" fontId="0" fillId="7" borderId="34" xfId="0" applyFill="1" applyBorder="1"/>
    <xf numFmtId="2" fontId="4" fillId="4" borderId="52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49" fontId="4" fillId="2" borderId="40" xfId="0" applyNumberFormat="1" applyFont="1" applyFill="1" applyBorder="1" applyAlignment="1">
      <alignment horizontal="center"/>
    </xf>
    <xf numFmtId="164" fontId="4" fillId="4" borderId="53" xfId="0" applyNumberFormat="1" applyFont="1" applyFill="1" applyBorder="1" applyAlignment="1">
      <alignment horizontal="center" vertical="center" wrapText="1"/>
    </xf>
    <xf numFmtId="164" fontId="4" fillId="4" borderId="37" xfId="0" applyNumberFormat="1" applyFont="1" applyFill="1" applyBorder="1" applyAlignment="1">
      <alignment horizontal="center" vertical="center" wrapText="1"/>
    </xf>
    <xf numFmtId="164" fontId="4" fillId="4" borderId="40" xfId="0" applyNumberFormat="1" applyFont="1" applyFill="1" applyBorder="1" applyAlignment="1">
      <alignment horizontal="center" vertical="center" wrapText="1"/>
    </xf>
    <xf numFmtId="0" fontId="7" fillId="0" borderId="33" xfId="0" applyFont="1" applyBorder="1"/>
    <xf numFmtId="164" fontId="4" fillId="8" borderId="37" xfId="0" applyNumberFormat="1" applyFont="1" applyFill="1" applyBorder="1" applyAlignment="1">
      <alignment horizontal="center"/>
    </xf>
    <xf numFmtId="0" fontId="3" fillId="0" borderId="33" xfId="0" applyFont="1" applyBorder="1"/>
    <xf numFmtId="164" fontId="3" fillId="0" borderId="32" xfId="0" applyNumberFormat="1" applyFont="1" applyBorder="1"/>
    <xf numFmtId="164" fontId="3" fillId="0" borderId="34" xfId="0" applyNumberFormat="1" applyFont="1" applyBorder="1"/>
    <xf numFmtId="0" fontId="11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indent="1"/>
    </xf>
    <xf numFmtId="0" fontId="1" fillId="0" borderId="33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wrapText="1" indent="1"/>
    </xf>
    <xf numFmtId="0" fontId="1" fillId="0" borderId="33" xfId="0" applyFont="1" applyBorder="1" applyAlignment="1">
      <alignment horizontal="right" vertical="center"/>
    </xf>
    <xf numFmtId="0" fontId="8" fillId="0" borderId="33" xfId="0" applyFont="1" applyBorder="1"/>
    <xf numFmtId="0" fontId="7" fillId="0" borderId="0" xfId="0" applyFont="1"/>
    <xf numFmtId="0" fontId="8" fillId="0" borderId="54" xfId="0" applyFont="1" applyBorder="1"/>
    <xf numFmtId="0" fontId="7" fillId="0" borderId="55" xfId="0" applyFont="1" applyBorder="1"/>
    <xf numFmtId="0" fontId="3" fillId="0" borderId="56" xfId="0" applyFont="1" applyBorder="1"/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34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37" xfId="0" applyFont="1" applyBorder="1" applyAlignment="1">
      <alignment horizontal="left" wrapText="1"/>
    </xf>
    <xf numFmtId="0" fontId="4" fillId="2" borderId="4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2" fontId="4" fillId="2" borderId="16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16" fontId="4" fillId="6" borderId="1" xfId="0" applyNumberFormat="1" applyFont="1" applyFill="1" applyBorder="1" applyAlignment="1" applyProtection="1">
      <alignment horizontal="left" vertical="center"/>
      <protection locked="0"/>
    </xf>
    <xf numFmtId="16" fontId="4" fillId="6" borderId="3" xfId="0" applyNumberFormat="1" applyFont="1" applyFill="1" applyBorder="1" applyAlignment="1" applyProtection="1">
      <alignment horizontal="left" vertical="center"/>
      <protection locked="0"/>
    </xf>
    <xf numFmtId="0" fontId="10" fillId="5" borderId="31" xfId="0" applyFont="1" applyFill="1" applyBorder="1" applyAlignment="1" applyProtection="1">
      <alignment horizontal="left" vertical="top" wrapText="1"/>
      <protection locked="0"/>
    </xf>
    <xf numFmtId="0" fontId="10" fillId="5" borderId="5" xfId="0" applyFont="1" applyFill="1" applyBorder="1" applyAlignment="1" applyProtection="1">
      <alignment horizontal="left" vertical="top" wrapText="1"/>
      <protection locked="0"/>
    </xf>
    <xf numFmtId="0" fontId="10" fillId="5" borderId="33" xfId="0" applyFont="1" applyFill="1" applyBorder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top" wrapText="1"/>
      <protection locked="0"/>
    </xf>
    <xf numFmtId="49" fontId="12" fillId="6" borderId="1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49" fontId="4" fillId="6" borderId="2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 applyProtection="1">
      <alignment horizontal="left" vertical="center"/>
      <protection locked="0"/>
    </xf>
    <xf numFmtId="15" fontId="4" fillId="6" borderId="2" xfId="0" applyNumberFormat="1" applyFont="1" applyFill="1" applyBorder="1" applyAlignment="1" applyProtection="1">
      <alignment horizontal="left" vertical="center"/>
      <protection locked="0"/>
    </xf>
    <xf numFmtId="0" fontId="4" fillId="6" borderId="2" xfId="0" applyFont="1" applyFill="1" applyBorder="1" applyAlignment="1" applyProtection="1">
      <alignment horizontal="left" vertical="center"/>
      <protection locked="0"/>
    </xf>
    <xf numFmtId="0" fontId="4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83C"/>
      <color rgb="FFD9FF7E"/>
      <color rgb="FFF5F5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3</xdr:row>
      <xdr:rowOff>247651</xdr:rowOff>
    </xdr:from>
    <xdr:to>
      <xdr:col>5</xdr:col>
      <xdr:colOff>419100</xdr:colOff>
      <xdr:row>8</xdr:row>
      <xdr:rowOff>95250</xdr:rowOff>
    </xdr:to>
    <xdr:pic>
      <xdr:nvPicPr>
        <xdr:cNvPr id="3" name="Picture 1" descr="Access-Logo-294.jpg">
          <a:extLst>
            <a:ext uri="{FF2B5EF4-FFF2-40B4-BE49-F238E27FC236}">
              <a16:creationId xmlns:a16="http://schemas.microsoft.com/office/drawing/2014/main" id="{5AB89346-8ECF-AF47-8A20-FA4697A1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350" y="857251"/>
          <a:ext cx="3498850" cy="92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2208-9FEB-4A4A-BEEE-1B871BB28E58}">
  <sheetPr>
    <pageSetUpPr fitToPage="1"/>
  </sheetPr>
  <dimension ref="A1:F83"/>
  <sheetViews>
    <sheetView tabSelected="1" topLeftCell="A18" workbookViewId="0">
      <selection activeCell="B3" sqref="B3:C3"/>
    </sheetView>
  </sheetViews>
  <sheetFormatPr defaultColWidth="10.85546875" defaultRowHeight="15"/>
  <cols>
    <col min="1" max="1" width="31.42578125" customWidth="1"/>
    <col min="2" max="2" width="32.85546875" customWidth="1"/>
    <col min="3" max="3" width="27.42578125" customWidth="1"/>
    <col min="4" max="4" width="16.28515625" customWidth="1"/>
    <col min="5" max="5" width="40.7109375" customWidth="1"/>
    <col min="6" max="6" width="13.7109375" customWidth="1"/>
  </cols>
  <sheetData>
    <row r="1" spans="1:6" ht="15.75">
      <c r="A1" s="93" t="s">
        <v>0</v>
      </c>
      <c r="B1" s="94"/>
      <c r="C1" s="94"/>
      <c r="D1" s="94"/>
      <c r="E1" s="94"/>
      <c r="F1" s="95"/>
    </row>
    <row r="2" spans="1:6" ht="15.75">
      <c r="A2" s="36" t="s">
        <v>1</v>
      </c>
      <c r="B2" s="118" t="s">
        <v>2</v>
      </c>
      <c r="C2" s="118"/>
      <c r="D2" s="15"/>
      <c r="E2" s="16"/>
      <c r="F2" s="37"/>
    </row>
    <row r="3" spans="1:6" ht="15.75">
      <c r="A3" s="38" t="s">
        <v>3</v>
      </c>
      <c r="B3" s="119" t="s">
        <v>4</v>
      </c>
      <c r="C3" s="119"/>
      <c r="D3" s="39"/>
      <c r="E3" s="40"/>
      <c r="F3" s="41"/>
    </row>
    <row r="4" spans="1:6" ht="15.75">
      <c r="A4" s="38" t="s">
        <v>5</v>
      </c>
      <c r="B4" s="119"/>
      <c r="C4" s="119"/>
      <c r="D4" s="39"/>
      <c r="E4" s="40"/>
      <c r="F4" s="41"/>
    </row>
    <row r="5" spans="1:6" ht="15.75">
      <c r="A5" s="38" t="s">
        <v>6</v>
      </c>
      <c r="B5" s="120"/>
      <c r="C5" s="120"/>
      <c r="D5" s="42"/>
      <c r="E5" s="43"/>
      <c r="F5" s="44"/>
    </row>
    <row r="6" spans="1:6" ht="15.75">
      <c r="A6" s="38" t="s">
        <v>7</v>
      </c>
      <c r="B6" s="121"/>
      <c r="C6" s="121"/>
      <c r="D6" s="42"/>
      <c r="E6" s="45"/>
      <c r="F6" s="44"/>
    </row>
    <row r="7" spans="1:6" ht="15.75">
      <c r="A7" s="38" t="s">
        <v>8</v>
      </c>
      <c r="B7" s="121"/>
      <c r="C7" s="121"/>
      <c r="D7" s="42"/>
      <c r="E7" s="42"/>
      <c r="F7" s="44"/>
    </row>
    <row r="8" spans="1:6" ht="15.75">
      <c r="A8" s="38"/>
      <c r="B8" s="40"/>
      <c r="C8" s="42"/>
      <c r="D8" s="42"/>
      <c r="E8" s="42"/>
      <c r="F8" s="44"/>
    </row>
    <row r="9" spans="1:6" ht="15.75">
      <c r="A9" s="38"/>
      <c r="B9" s="122" t="s">
        <v>9</v>
      </c>
      <c r="C9" s="122"/>
      <c r="D9" s="42"/>
      <c r="E9" s="42"/>
      <c r="F9" s="44"/>
    </row>
    <row r="10" spans="1:6" ht="17.100000000000001" customHeight="1">
      <c r="A10" s="46" t="s">
        <v>10</v>
      </c>
      <c r="B10" s="109"/>
      <c r="C10" s="110"/>
      <c r="D10" s="42"/>
      <c r="E10" s="96" t="s">
        <v>11</v>
      </c>
      <c r="F10" s="97"/>
    </row>
    <row r="11" spans="1:6" ht="15.75">
      <c r="A11" s="47" t="s">
        <v>12</v>
      </c>
      <c r="B11" s="109"/>
      <c r="C11" s="110"/>
      <c r="D11" s="42"/>
      <c r="E11" s="98"/>
      <c r="F11" s="99"/>
    </row>
    <row r="12" spans="1:6" ht="15.75">
      <c r="A12" s="38"/>
      <c r="B12" s="40"/>
      <c r="C12" s="42"/>
      <c r="D12" s="42"/>
      <c r="E12" s="98"/>
      <c r="F12" s="99"/>
    </row>
    <row r="13" spans="1:6" ht="15.75">
      <c r="A13" s="48" t="s">
        <v>13</v>
      </c>
      <c r="B13" s="42"/>
      <c r="C13" s="42"/>
      <c r="D13" s="42"/>
      <c r="E13" s="98"/>
      <c r="F13" s="99"/>
    </row>
    <row r="14" spans="1:6" ht="51.95" customHeight="1">
      <c r="A14" s="49" t="s">
        <v>14</v>
      </c>
      <c r="B14" s="17" t="s">
        <v>15</v>
      </c>
      <c r="C14" s="18" t="s">
        <v>16</v>
      </c>
      <c r="D14" s="50"/>
      <c r="E14" s="100"/>
      <c r="F14" s="101"/>
    </row>
    <row r="15" spans="1:6" ht="15.95" customHeight="1">
      <c r="A15" s="51">
        <v>0</v>
      </c>
      <c r="B15" s="19">
        <f>125+46</f>
        <v>171</v>
      </c>
      <c r="C15" s="20">
        <f>A15*B15</f>
        <v>0</v>
      </c>
      <c r="D15" s="50"/>
      <c r="E15" s="96" t="s">
        <v>17</v>
      </c>
      <c r="F15" s="97"/>
    </row>
    <row r="16" spans="1:6" ht="15.75">
      <c r="A16" s="52"/>
      <c r="B16" s="53"/>
      <c r="C16" s="53"/>
      <c r="D16" s="50"/>
      <c r="E16" s="98"/>
      <c r="F16" s="99"/>
    </row>
    <row r="17" spans="1:6" ht="15.75">
      <c r="A17" s="48" t="s">
        <v>18</v>
      </c>
      <c r="B17" s="42"/>
      <c r="D17" s="42"/>
      <c r="E17" s="98"/>
      <c r="F17" s="99"/>
    </row>
    <row r="18" spans="1:6" ht="51.95" customHeight="1">
      <c r="A18" s="49" t="s">
        <v>14</v>
      </c>
      <c r="B18" s="17" t="s">
        <v>15</v>
      </c>
      <c r="C18" s="18" t="s">
        <v>16</v>
      </c>
      <c r="D18" s="50"/>
      <c r="E18" s="21" t="s">
        <v>19</v>
      </c>
      <c r="F18" s="54" t="s">
        <v>20</v>
      </c>
    </row>
    <row r="19" spans="1:6" ht="15.75">
      <c r="A19" s="51">
        <v>0</v>
      </c>
      <c r="B19" s="19">
        <v>46</v>
      </c>
      <c r="C19" s="20">
        <f>A19*B19</f>
        <v>0</v>
      </c>
      <c r="D19" s="50" t="s">
        <v>21</v>
      </c>
      <c r="E19" s="3"/>
      <c r="F19" s="55"/>
    </row>
    <row r="20" spans="1:6" ht="15.75">
      <c r="A20" s="56" t="s">
        <v>22</v>
      </c>
      <c r="B20" s="22"/>
      <c r="C20" s="22"/>
      <c r="D20" s="50" t="s">
        <v>21</v>
      </c>
      <c r="E20" s="2"/>
      <c r="F20" s="57"/>
    </row>
    <row r="21" spans="1:6" ht="15.75">
      <c r="A21" s="58" t="s">
        <v>23</v>
      </c>
      <c r="B21" s="59" t="s">
        <v>24</v>
      </c>
      <c r="C21" s="59" t="s">
        <v>25</v>
      </c>
      <c r="D21" s="50" t="s">
        <v>21</v>
      </c>
      <c r="E21" s="2"/>
      <c r="F21" s="57"/>
    </row>
    <row r="22" spans="1:6" ht="15.75">
      <c r="A22" s="60"/>
      <c r="B22" s="1"/>
      <c r="C22" s="1"/>
      <c r="D22" s="50" t="s">
        <v>21</v>
      </c>
      <c r="E22" s="2"/>
      <c r="F22" s="57"/>
    </row>
    <row r="23" spans="1:6" ht="15.75">
      <c r="A23" s="60"/>
      <c r="B23" s="1"/>
      <c r="C23" s="1"/>
      <c r="D23" s="50" t="s">
        <v>21</v>
      </c>
      <c r="E23" s="2"/>
      <c r="F23" s="57"/>
    </row>
    <row r="24" spans="1:6" ht="15.75">
      <c r="A24" s="60"/>
      <c r="B24" s="1"/>
      <c r="C24" s="1"/>
      <c r="D24" s="50" t="s">
        <v>21</v>
      </c>
      <c r="E24" s="2"/>
      <c r="F24" s="57"/>
    </row>
    <row r="25" spans="1:6" ht="15.75">
      <c r="A25" s="60"/>
      <c r="B25" s="1"/>
      <c r="C25" s="1"/>
      <c r="D25" s="50" t="s">
        <v>21</v>
      </c>
      <c r="E25" s="2"/>
      <c r="F25" s="57"/>
    </row>
    <row r="26" spans="1:6" ht="15.75">
      <c r="A26" s="61"/>
      <c r="B26" s="62"/>
      <c r="C26" s="62"/>
      <c r="D26" s="50" t="s">
        <v>21</v>
      </c>
      <c r="E26" s="2"/>
      <c r="F26" s="57"/>
    </row>
    <row r="27" spans="1:6" ht="15.75">
      <c r="A27" s="102" t="s">
        <v>9</v>
      </c>
      <c r="B27" s="104" t="s">
        <v>26</v>
      </c>
      <c r="C27" s="105"/>
      <c r="D27" s="106" t="s">
        <v>27</v>
      </c>
      <c r="E27" s="107"/>
      <c r="F27" s="108"/>
    </row>
    <row r="28" spans="1:6" ht="15.75">
      <c r="A28" s="103"/>
      <c r="B28" s="23" t="s">
        <v>28</v>
      </c>
      <c r="C28" s="24" t="s">
        <v>29</v>
      </c>
      <c r="D28" s="25" t="s">
        <v>30</v>
      </c>
      <c r="E28" s="26" t="s">
        <v>31</v>
      </c>
      <c r="F28" s="63" t="s">
        <v>32</v>
      </c>
    </row>
    <row r="29" spans="1:6" ht="15.75">
      <c r="A29" s="64"/>
      <c r="B29" s="4"/>
      <c r="C29" s="5"/>
      <c r="D29" s="12">
        <v>0</v>
      </c>
      <c r="E29" s="13">
        <f>IF(F29&gt;0, SUM($D$29:$D30), 0)</f>
        <v>0</v>
      </c>
      <c r="F29" s="65">
        <v>0</v>
      </c>
    </row>
    <row r="30" spans="1:6" ht="15.75">
      <c r="A30" s="66"/>
      <c r="B30" s="6"/>
      <c r="C30" s="7"/>
      <c r="D30" s="14">
        <f>F29</f>
        <v>0</v>
      </c>
      <c r="E30" s="13">
        <f>IF(F30&gt;0, SUM($D$29:$D31), 0)</f>
        <v>0</v>
      </c>
      <c r="F30" s="65">
        <v>0</v>
      </c>
    </row>
    <row r="31" spans="1:6" ht="15.75">
      <c r="A31" s="66"/>
      <c r="B31" s="6"/>
      <c r="C31" s="7"/>
      <c r="D31" s="14">
        <f t="shared" ref="D31:D50" si="0">F30</f>
        <v>0</v>
      </c>
      <c r="E31" s="13">
        <f>IF(F31&gt;0, SUM($D$29:$D32), 0)</f>
        <v>0</v>
      </c>
      <c r="F31" s="65">
        <v>0</v>
      </c>
    </row>
    <row r="32" spans="1:6" ht="15.75">
      <c r="A32" s="66"/>
      <c r="B32" s="6"/>
      <c r="C32" s="7"/>
      <c r="D32" s="14">
        <f t="shared" si="0"/>
        <v>0</v>
      </c>
      <c r="E32" s="13">
        <f>IF(F32&gt;0, SUM($D$29:$D33), 0)</f>
        <v>0</v>
      </c>
      <c r="F32" s="65">
        <v>0</v>
      </c>
    </row>
    <row r="33" spans="1:6" ht="15.75">
      <c r="A33" s="66"/>
      <c r="B33" s="6"/>
      <c r="C33" s="7"/>
      <c r="D33" s="14">
        <f t="shared" si="0"/>
        <v>0</v>
      </c>
      <c r="E33" s="13">
        <f>IF(F33&gt;0, SUM($D$29:$D34), 0)</f>
        <v>0</v>
      </c>
      <c r="F33" s="65">
        <v>0</v>
      </c>
    </row>
    <row r="34" spans="1:6" ht="15.75">
      <c r="A34" s="64"/>
      <c r="B34" s="4"/>
      <c r="C34" s="5"/>
      <c r="D34" s="14">
        <f t="shared" si="0"/>
        <v>0</v>
      </c>
      <c r="E34" s="13">
        <f>IF(F34&gt;0, SUM($D$29:$D35), 0)</f>
        <v>0</v>
      </c>
      <c r="F34" s="65">
        <v>0</v>
      </c>
    </row>
    <row r="35" spans="1:6" ht="15.75">
      <c r="A35" s="66"/>
      <c r="B35" s="6"/>
      <c r="C35" s="7"/>
      <c r="D35" s="14">
        <f t="shared" si="0"/>
        <v>0</v>
      </c>
      <c r="E35" s="13">
        <f>IF(F35&gt;0, SUM($D$29:$D36), 0)</f>
        <v>0</v>
      </c>
      <c r="F35" s="65">
        <v>0</v>
      </c>
    </row>
    <row r="36" spans="1:6" ht="15.75">
      <c r="A36" s="66"/>
      <c r="B36" s="6"/>
      <c r="C36" s="7"/>
      <c r="D36" s="14">
        <f t="shared" si="0"/>
        <v>0</v>
      </c>
      <c r="E36" s="13">
        <f>IF(F36&gt;0, SUM($D$29:$D37), 0)</f>
        <v>0</v>
      </c>
      <c r="F36" s="65">
        <v>0</v>
      </c>
    </row>
    <row r="37" spans="1:6" ht="15.75">
      <c r="A37" s="66"/>
      <c r="B37" s="6"/>
      <c r="C37" s="7"/>
      <c r="D37" s="14">
        <f t="shared" si="0"/>
        <v>0</v>
      </c>
      <c r="E37" s="13">
        <f>IF(F37&gt;0, SUM($D$29:$D38), 0)</f>
        <v>0</v>
      </c>
      <c r="F37" s="65">
        <v>0</v>
      </c>
    </row>
    <row r="38" spans="1:6" ht="15.75">
      <c r="A38" s="67"/>
      <c r="B38" s="6"/>
      <c r="C38" s="7"/>
      <c r="D38" s="14">
        <f t="shared" si="0"/>
        <v>0</v>
      </c>
      <c r="E38" s="13">
        <f>IF(F38&gt;0, SUM($D$29:$D39), 0)</f>
        <v>0</v>
      </c>
      <c r="F38" s="65">
        <v>0</v>
      </c>
    </row>
    <row r="39" spans="1:6" ht="15.75">
      <c r="A39" s="67"/>
      <c r="B39" s="6"/>
      <c r="C39" s="7"/>
      <c r="D39" s="14">
        <f t="shared" si="0"/>
        <v>0</v>
      </c>
      <c r="E39" s="13">
        <f>IF(F39&gt;0, SUM($D$29:$D40), 0)</f>
        <v>0</v>
      </c>
      <c r="F39" s="65">
        <v>0</v>
      </c>
    </row>
    <row r="40" spans="1:6" ht="15.75">
      <c r="A40" s="67"/>
      <c r="B40" s="6"/>
      <c r="C40" s="7"/>
      <c r="D40" s="14">
        <f t="shared" si="0"/>
        <v>0</v>
      </c>
      <c r="E40" s="13">
        <f>IF(F40&gt;0, SUM($D$29:$D41), 0)</f>
        <v>0</v>
      </c>
      <c r="F40" s="65">
        <v>0</v>
      </c>
    </row>
    <row r="41" spans="1:6" ht="15.75">
      <c r="A41" s="67"/>
      <c r="B41" s="6"/>
      <c r="C41" s="7"/>
      <c r="D41" s="14">
        <f t="shared" si="0"/>
        <v>0</v>
      </c>
      <c r="E41" s="13">
        <f>IF(F41&gt;0, SUM($D$29:$D42), 0)</f>
        <v>0</v>
      </c>
      <c r="F41" s="65">
        <v>0</v>
      </c>
    </row>
    <row r="42" spans="1:6" ht="15.75">
      <c r="A42" s="67"/>
      <c r="B42" s="6"/>
      <c r="C42" s="7"/>
      <c r="D42" s="14">
        <f t="shared" si="0"/>
        <v>0</v>
      </c>
      <c r="E42" s="13">
        <f>IF(F42&gt;0, SUM($D$29:$D43), 0)</f>
        <v>0</v>
      </c>
      <c r="F42" s="65">
        <v>0</v>
      </c>
    </row>
    <row r="43" spans="1:6" ht="15.75">
      <c r="A43" s="67"/>
      <c r="B43" s="6"/>
      <c r="C43" s="7"/>
      <c r="D43" s="14">
        <f t="shared" si="0"/>
        <v>0</v>
      </c>
      <c r="E43" s="13">
        <f>IF(F43&gt;0, SUM($D$29:$D44), 0)</f>
        <v>0</v>
      </c>
      <c r="F43" s="65">
        <v>0</v>
      </c>
    </row>
    <row r="44" spans="1:6" ht="15.75">
      <c r="A44" s="67"/>
      <c r="B44" s="6"/>
      <c r="C44" s="7"/>
      <c r="D44" s="14">
        <f t="shared" si="0"/>
        <v>0</v>
      </c>
      <c r="E44" s="13">
        <f>IF(F44&gt;0, SUM($D$29:$D45), 0)</f>
        <v>0</v>
      </c>
      <c r="F44" s="65">
        <v>0</v>
      </c>
    </row>
    <row r="45" spans="1:6" ht="15.75">
      <c r="A45" s="68"/>
      <c r="B45" s="4"/>
      <c r="C45" s="5"/>
      <c r="D45" s="14">
        <f t="shared" si="0"/>
        <v>0</v>
      </c>
      <c r="E45" s="13">
        <f>IF(F45&gt;0, SUM($D$29:$D46), 0)</f>
        <v>0</v>
      </c>
      <c r="F45" s="65">
        <v>0</v>
      </c>
    </row>
    <row r="46" spans="1:6" ht="15.75">
      <c r="A46" s="67"/>
      <c r="B46" s="6"/>
      <c r="C46" s="7"/>
      <c r="D46" s="14">
        <f t="shared" si="0"/>
        <v>0</v>
      </c>
      <c r="E46" s="13">
        <f>IF(F46&gt;0, SUM($D$29:$D47), 0)</f>
        <v>0</v>
      </c>
      <c r="F46" s="65">
        <v>0</v>
      </c>
    </row>
    <row r="47" spans="1:6" ht="15.75">
      <c r="A47" s="67"/>
      <c r="B47" s="6"/>
      <c r="C47" s="7"/>
      <c r="D47" s="14">
        <f t="shared" si="0"/>
        <v>0</v>
      </c>
      <c r="E47" s="13">
        <f>IF(F47&gt;0, SUM($D$29:$D48), 0)</f>
        <v>0</v>
      </c>
      <c r="F47" s="65">
        <v>0</v>
      </c>
    </row>
    <row r="48" spans="1:6" ht="15.75">
      <c r="A48" s="67"/>
      <c r="B48" s="6"/>
      <c r="C48" s="7"/>
      <c r="D48" s="14">
        <f t="shared" si="0"/>
        <v>0</v>
      </c>
      <c r="E48" s="13">
        <f>IF(F48&gt;0, SUM($D$29:$D49), 0)</f>
        <v>0</v>
      </c>
      <c r="F48" s="65">
        <v>0</v>
      </c>
    </row>
    <row r="49" spans="1:6" ht="15.75">
      <c r="A49" s="67"/>
      <c r="B49" s="6"/>
      <c r="C49" s="7"/>
      <c r="D49" s="14">
        <f t="shared" si="0"/>
        <v>0</v>
      </c>
      <c r="E49" s="13">
        <f>IF(F49&gt;0, SUM($D$29:$D50), 0)</f>
        <v>0</v>
      </c>
      <c r="F49" s="65">
        <v>0</v>
      </c>
    </row>
    <row r="50" spans="1:6" ht="15.75">
      <c r="A50" s="67"/>
      <c r="B50" s="6"/>
      <c r="C50" s="7"/>
      <c r="D50" s="14">
        <f t="shared" si="0"/>
        <v>0</v>
      </c>
      <c r="E50" s="13">
        <f>IF(F50&gt;0, SUM($D$29:$D51), 0)</f>
        <v>0</v>
      </c>
      <c r="F50" s="65">
        <v>0</v>
      </c>
    </row>
    <row r="51" spans="1:6" ht="15.75">
      <c r="A51" s="67"/>
      <c r="B51" s="6"/>
      <c r="C51" s="7"/>
      <c r="D51" s="14">
        <f t="shared" ref="D51:D63" si="1">F50</f>
        <v>0</v>
      </c>
      <c r="E51" s="13">
        <f>IF(F51&gt;0, SUM($D$29:$D52), 0)</f>
        <v>0</v>
      </c>
      <c r="F51" s="65">
        <v>0</v>
      </c>
    </row>
    <row r="52" spans="1:6" ht="15.75">
      <c r="A52" s="67"/>
      <c r="B52" s="6"/>
      <c r="C52" s="7"/>
      <c r="D52" s="14">
        <f t="shared" si="1"/>
        <v>0</v>
      </c>
      <c r="E52" s="13">
        <f>IF(F52&gt;0, SUM($D$29:$D53), 0)</f>
        <v>0</v>
      </c>
      <c r="F52" s="65">
        <v>0</v>
      </c>
    </row>
    <row r="53" spans="1:6" ht="15.75">
      <c r="A53" s="67"/>
      <c r="B53" s="6"/>
      <c r="C53" s="7"/>
      <c r="D53" s="14">
        <f t="shared" si="1"/>
        <v>0</v>
      </c>
      <c r="E53" s="13">
        <f>IF(F53&gt;0, SUM($D$29:$D54), 0)</f>
        <v>0</v>
      </c>
      <c r="F53" s="65">
        <v>0</v>
      </c>
    </row>
    <row r="54" spans="1:6" ht="15.75">
      <c r="A54" s="67"/>
      <c r="B54" s="6"/>
      <c r="C54" s="7"/>
      <c r="D54" s="14">
        <f t="shared" si="1"/>
        <v>0</v>
      </c>
      <c r="E54" s="13">
        <f>IF(F54&gt;0, SUM($D$29:$D55), 0)</f>
        <v>0</v>
      </c>
      <c r="F54" s="65">
        <v>0</v>
      </c>
    </row>
    <row r="55" spans="1:6" ht="15.75">
      <c r="A55" s="67"/>
      <c r="B55" s="6"/>
      <c r="C55" s="7"/>
      <c r="D55" s="14">
        <f t="shared" si="1"/>
        <v>0</v>
      </c>
      <c r="E55" s="13">
        <f>IF(F55&gt;0, SUM($D$29:$D56), 0)</f>
        <v>0</v>
      </c>
      <c r="F55" s="65">
        <v>0</v>
      </c>
    </row>
    <row r="56" spans="1:6" ht="15.75">
      <c r="A56" s="67"/>
      <c r="B56" s="6"/>
      <c r="C56" s="7"/>
      <c r="D56" s="14">
        <f t="shared" si="1"/>
        <v>0</v>
      </c>
      <c r="E56" s="13">
        <f>IF(F56&gt;0, SUM($D$29:$D57), 0)</f>
        <v>0</v>
      </c>
      <c r="F56" s="65">
        <v>0</v>
      </c>
    </row>
    <row r="57" spans="1:6" ht="15.75">
      <c r="A57" s="67"/>
      <c r="B57" s="6"/>
      <c r="C57" s="7"/>
      <c r="D57" s="14">
        <f t="shared" si="1"/>
        <v>0</v>
      </c>
      <c r="E57" s="13">
        <f>IF(F57&gt;0, SUM($D$29:$D58), 0)</f>
        <v>0</v>
      </c>
      <c r="F57" s="65">
        <v>0</v>
      </c>
    </row>
    <row r="58" spans="1:6" ht="15.75">
      <c r="A58" s="68"/>
      <c r="B58" s="4"/>
      <c r="C58" s="5"/>
      <c r="D58" s="14">
        <f t="shared" si="1"/>
        <v>0</v>
      </c>
      <c r="E58" s="13">
        <f>IF(F58&gt;0, SUM($D$29:$D59), 0)</f>
        <v>0</v>
      </c>
      <c r="F58" s="65">
        <v>0</v>
      </c>
    </row>
    <row r="59" spans="1:6" ht="15.75">
      <c r="A59" s="67"/>
      <c r="B59" s="6"/>
      <c r="C59" s="7"/>
      <c r="D59" s="14">
        <f t="shared" si="1"/>
        <v>0</v>
      </c>
      <c r="E59" s="13">
        <f>IF(F59&gt;0, SUM($D$29:$D60), 0)</f>
        <v>0</v>
      </c>
      <c r="F59" s="65">
        <v>0</v>
      </c>
    </row>
    <row r="60" spans="1:6" ht="15.75">
      <c r="A60" s="67"/>
      <c r="B60" s="6"/>
      <c r="C60" s="7"/>
      <c r="D60" s="14">
        <f t="shared" si="1"/>
        <v>0</v>
      </c>
      <c r="E60" s="13">
        <f>IF(F60&gt;0, SUM($D$29:$D61), 0)</f>
        <v>0</v>
      </c>
      <c r="F60" s="65">
        <v>0</v>
      </c>
    </row>
    <row r="61" spans="1:6" ht="15.75">
      <c r="A61" s="67"/>
      <c r="B61" s="6"/>
      <c r="C61" s="7"/>
      <c r="D61" s="14">
        <f t="shared" si="1"/>
        <v>0</v>
      </c>
      <c r="E61" s="13">
        <f>IF(F61&gt;0, SUM($D$29:$D62), 0)</f>
        <v>0</v>
      </c>
      <c r="F61" s="65">
        <v>0</v>
      </c>
    </row>
    <row r="62" spans="1:6" ht="15.75">
      <c r="A62" s="67"/>
      <c r="B62" s="6"/>
      <c r="C62" s="7"/>
      <c r="D62" s="14">
        <f t="shared" si="1"/>
        <v>0</v>
      </c>
      <c r="E62" s="13">
        <f>IF(F62&gt;0, SUM($D$29:$D63), 0)</f>
        <v>0</v>
      </c>
      <c r="F62" s="65">
        <v>0</v>
      </c>
    </row>
    <row r="63" spans="1:6" ht="15.75">
      <c r="A63" s="69"/>
      <c r="B63" s="8"/>
      <c r="C63" s="9"/>
      <c r="D63" s="14">
        <f t="shared" si="1"/>
        <v>0</v>
      </c>
      <c r="E63" s="13">
        <f>IF(F63&gt;0, SUM($D$29:$D64), 0)</f>
        <v>0</v>
      </c>
      <c r="F63" s="65">
        <v>0</v>
      </c>
    </row>
    <row r="64" spans="1:6" ht="18" customHeight="1">
      <c r="A64" s="111" t="s">
        <v>33</v>
      </c>
      <c r="B64" s="112"/>
      <c r="C64" s="112"/>
      <c r="D64" s="10"/>
      <c r="E64" s="11"/>
      <c r="F64" s="70"/>
    </row>
    <row r="65" spans="1:6" ht="17.100000000000001" customHeight="1">
      <c r="A65" s="113"/>
      <c r="B65" s="114"/>
      <c r="C65" s="114"/>
      <c r="D65" s="27"/>
      <c r="E65" s="28" t="s">
        <v>34</v>
      </c>
      <c r="F65" s="71">
        <f>SUM(F29:F50)</f>
        <v>0</v>
      </c>
    </row>
    <row r="66" spans="1:6" ht="15.75">
      <c r="A66" s="113"/>
      <c r="B66" s="114"/>
      <c r="C66" s="114"/>
      <c r="D66" s="27"/>
      <c r="E66" s="72"/>
      <c r="F66" s="73" t="s">
        <v>35</v>
      </c>
    </row>
    <row r="67" spans="1:6" ht="15.75">
      <c r="A67" s="113"/>
      <c r="B67" s="114"/>
      <c r="C67" s="114"/>
      <c r="D67" s="27"/>
      <c r="E67" s="28" t="s">
        <v>36</v>
      </c>
      <c r="F67" s="74">
        <f>ROUND(F65*0.88,2)</f>
        <v>0</v>
      </c>
    </row>
    <row r="68" spans="1:6" ht="15.75">
      <c r="A68" s="113"/>
      <c r="B68" s="114"/>
      <c r="C68" s="114"/>
      <c r="D68" s="27"/>
      <c r="E68" s="29"/>
      <c r="F68" s="44"/>
    </row>
    <row r="69" spans="1:6" ht="15.75">
      <c r="A69" s="113"/>
      <c r="B69" s="114"/>
      <c r="C69" s="114"/>
      <c r="D69" s="27"/>
      <c r="E69" s="28" t="s">
        <v>37</v>
      </c>
      <c r="F69" s="74">
        <f>F67</f>
        <v>0</v>
      </c>
    </row>
    <row r="70" spans="1:6" ht="15.75">
      <c r="A70" s="113"/>
      <c r="B70" s="114"/>
      <c r="C70" s="114"/>
      <c r="D70" s="27"/>
      <c r="E70" s="28" t="s">
        <v>38</v>
      </c>
      <c r="F70" s="75">
        <f>C15+C19</f>
        <v>0</v>
      </c>
    </row>
    <row r="71" spans="1:6" ht="15.75">
      <c r="A71" s="113"/>
      <c r="B71" s="114"/>
      <c r="C71" s="114"/>
      <c r="D71" s="30" t="s">
        <v>39</v>
      </c>
      <c r="E71" s="31"/>
      <c r="F71" s="76">
        <f>F69+F70</f>
        <v>0</v>
      </c>
    </row>
    <row r="72" spans="1:6" ht="15.75">
      <c r="A72" s="113"/>
      <c r="B72" s="114"/>
      <c r="C72" s="114"/>
      <c r="D72" s="30" t="s">
        <v>40</v>
      </c>
      <c r="E72" s="31"/>
      <c r="F72" s="76">
        <f>ROUND(F71*0.05,2)</f>
        <v>0</v>
      </c>
    </row>
    <row r="73" spans="1:6" ht="15.75">
      <c r="A73" s="77" t="s">
        <v>41</v>
      </c>
      <c r="B73" s="32"/>
      <c r="C73" s="32"/>
      <c r="D73" s="33" t="s">
        <v>42</v>
      </c>
      <c r="E73" s="34"/>
      <c r="F73" s="78">
        <f>ROUND(F71+F72,2)</f>
        <v>0</v>
      </c>
    </row>
    <row r="74" spans="1:6" ht="15.75">
      <c r="A74" s="79"/>
      <c r="B74" s="42"/>
      <c r="C74" s="42"/>
      <c r="D74" s="35"/>
      <c r="E74" s="35"/>
      <c r="F74" s="80"/>
    </row>
    <row r="75" spans="1:6" ht="15.75">
      <c r="A75" s="46"/>
      <c r="B75" s="40"/>
      <c r="C75" s="42"/>
      <c r="D75" s="42"/>
      <c r="E75" s="42"/>
      <c r="F75" s="81"/>
    </row>
    <row r="76" spans="1:6" ht="23.25">
      <c r="A76" s="82" t="s">
        <v>43</v>
      </c>
      <c r="B76" s="115"/>
      <c r="C76" s="115"/>
      <c r="D76" s="115"/>
      <c r="E76" s="42"/>
      <c r="F76" s="83"/>
    </row>
    <row r="77" spans="1:6" ht="23.25">
      <c r="A77" s="84"/>
      <c r="B77" s="85"/>
      <c r="C77" s="85"/>
      <c r="D77" s="86"/>
      <c r="E77" s="42"/>
      <c r="F77" s="83"/>
    </row>
    <row r="78" spans="1:6" ht="24.75" customHeight="1">
      <c r="A78" s="82" t="s">
        <v>44</v>
      </c>
      <c r="B78" s="116"/>
      <c r="C78" s="116"/>
      <c r="D78" s="116"/>
      <c r="E78" s="42"/>
      <c r="F78" s="83"/>
    </row>
    <row r="79" spans="1:6" ht="23.25">
      <c r="A79" s="87"/>
      <c r="B79" s="85"/>
      <c r="C79" s="85"/>
      <c r="D79" s="86"/>
      <c r="E79" s="42"/>
      <c r="F79" s="83"/>
    </row>
    <row r="80" spans="1:6" ht="23.25">
      <c r="A80" s="82" t="s">
        <v>45</v>
      </c>
      <c r="B80" s="117"/>
      <c r="C80" s="117"/>
      <c r="D80" s="117"/>
      <c r="E80" s="42"/>
      <c r="F80" s="83"/>
    </row>
    <row r="81" spans="1:6" ht="15.75">
      <c r="A81" s="79"/>
      <c r="B81" s="42"/>
      <c r="C81" s="42"/>
      <c r="D81" s="42"/>
      <c r="E81" s="42"/>
      <c r="F81" s="44"/>
    </row>
    <row r="82" spans="1:6" ht="15.75">
      <c r="A82" s="88" t="s">
        <v>46</v>
      </c>
      <c r="B82" s="89"/>
      <c r="C82" s="89"/>
      <c r="D82" s="89"/>
      <c r="E82" s="89"/>
      <c r="F82" s="44"/>
    </row>
    <row r="83" spans="1:6" ht="15.75">
      <c r="A83" s="90" t="s">
        <v>47</v>
      </c>
      <c r="B83" s="91"/>
      <c r="C83" s="91"/>
      <c r="D83" s="91"/>
      <c r="E83" s="91"/>
      <c r="F83" s="92"/>
    </row>
  </sheetData>
  <protectedRanges>
    <protectedRange sqref="B2:C7 B10:C11" name="Travel Info"/>
    <protectedRange sqref="A15 A19" name="Per Diems"/>
    <protectedRange sqref="A29:C63" name="CCs"/>
    <protectedRange sqref="F29:F63" name="KMs"/>
    <protectedRange sqref="B76" name="Sign"/>
    <protectedRange sqref="A64" name="Notes"/>
    <protectedRange sqref="A22:C25" name="Hotels"/>
    <protectedRange sqref="E19:F26" name="ReginaCCs"/>
  </protectedRanges>
  <mergeCells count="19">
    <mergeCell ref="A64:C72"/>
    <mergeCell ref="B76:D76"/>
    <mergeCell ref="B78:D78"/>
    <mergeCell ref="B80:D80"/>
    <mergeCell ref="B2:C2"/>
    <mergeCell ref="B3:C3"/>
    <mergeCell ref="B4:C4"/>
    <mergeCell ref="B5:C5"/>
    <mergeCell ref="B6:C6"/>
    <mergeCell ref="B7:C7"/>
    <mergeCell ref="B9:C9"/>
    <mergeCell ref="A1:F1"/>
    <mergeCell ref="E10:F14"/>
    <mergeCell ref="E15:F17"/>
    <mergeCell ref="A27:A28"/>
    <mergeCell ref="B27:C27"/>
    <mergeCell ref="D27:F27"/>
    <mergeCell ref="B10:C10"/>
    <mergeCell ref="B11:C11"/>
  </mergeCells>
  <printOptions horizontalCentered="1" verticalCentered="1"/>
  <pageMargins left="0.7" right="0.7" top="0.75" bottom="0.75" header="0.3" footer="0.3"/>
  <pageSetup scale="4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6A683B4A4284EB05323EE11E00073" ma:contentTypeVersion="3" ma:contentTypeDescription="Create a new document." ma:contentTypeScope="" ma:versionID="f0e5a2d5cfcb76e9d023ebba74853214">
  <xsd:schema xmlns:xsd="http://www.w3.org/2001/XMLSchema" xmlns:xs="http://www.w3.org/2001/XMLSchema" xmlns:p="http://schemas.microsoft.com/office/2006/metadata/properties" xmlns:ns2="e241f6b5-17f3-403f-bba6-bbe3a938fc98" targetNamespace="http://schemas.microsoft.com/office/2006/metadata/properties" ma:root="true" ma:fieldsID="ad8da53b84067ca7efbd40cff8f9e9e2" ns2:_="">
    <xsd:import namespace="e241f6b5-17f3-403f-bba6-bbe3a938f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1f6b5-17f3-403f-bba6-bbe3a938f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58BEB-9E28-437D-A0E2-1D0E95A58845}"/>
</file>

<file path=customXml/itemProps2.xml><?xml version="1.0" encoding="utf-8"?>
<ds:datastoreItem xmlns:ds="http://schemas.openxmlformats.org/officeDocument/2006/customXml" ds:itemID="{A60F4DCC-D9C6-46A1-94B9-8E727600E035}"/>
</file>

<file path=customXml/itemProps3.xml><?xml version="1.0" encoding="utf-8"?>
<ds:datastoreItem xmlns:ds="http://schemas.openxmlformats.org/officeDocument/2006/customXml" ds:itemID="{11E19515-9AED-4A69-A9AD-9EF5BC1FB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McGratten</dc:creator>
  <cp:keywords/>
  <dc:description/>
  <cp:lastModifiedBy>Issam Ettir</cp:lastModifiedBy>
  <cp:revision/>
  <dcterms:created xsi:type="dcterms:W3CDTF">2017-03-30T20:08:35Z</dcterms:created>
  <dcterms:modified xsi:type="dcterms:W3CDTF">2026-03-17T01:35:36Z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0x010100DA86A683B4A4284EB05323EE11E00073</vt:lpwstr>
  </property>
</Properties>
</file>